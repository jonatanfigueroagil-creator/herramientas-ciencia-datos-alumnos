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gre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D2D2D"/>
      <sz val="10"/>
    </font>
    <font>
      <name val="Calibri"/>
      <b val="1"/>
      <color rgb="00FFFFFF"/>
      <sz val="14"/>
    </font>
    <font>
      <name val="Calibri"/>
      <b val="1"/>
      <color rgb="009B1B30"/>
      <sz val="10"/>
    </font>
    <font>
      <name val="Consolas"/>
      <color rgb="002D2D2D"/>
      <sz val="9"/>
    </font>
    <font>
      <name val="Calibri"/>
      <i val="1"/>
      <color rgb="006E6E6E"/>
      <sz val="8"/>
    </font>
  </fonts>
  <fills count="5">
    <fill>
      <patternFill/>
    </fill>
    <fill>
      <patternFill patternType="gray125"/>
    </fill>
    <fill>
      <patternFill patternType="solid">
        <fgColor rgb="00E4002B"/>
      </patternFill>
    </fill>
    <fill>
      <patternFill patternType="solid">
        <fgColor rgb="00F4F4F4"/>
      </patternFill>
    </fill>
    <fill>
      <patternFill patternType="solid">
        <fgColor rgb="00FCEDE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6" fillId="0" borderId="0" pivotButton="0" quotePrefix="0" xfId="0"/>
    <xf numFmtId="0" fontId="4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vs. inversión en TV (Advertising)</a:t>
            </a:r>
          </a:p>
        </rich>
      </tx>
    </title>
    <plotArea>
      <scatterChart>
        <ser>
          <idx val="0"/>
          <order val="0"/>
          <tx>
            <v>mercados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'datos'!$A$2:$A$201</f>
            </numRef>
          </xVal>
          <yVal>
            <numRef>
              <f>'datos'!$B$2:$B$201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Inversión en TV (miles USD)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Ventas (miles de unidades)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60" customWidth="1" min="4" max="4"/>
  </cols>
  <sheetData>
    <row r="1">
      <c r="A1" s="1" t="inlineStr">
        <is>
          <t>TV (inversión, miles USD)</t>
        </is>
      </c>
      <c r="B1" s="1" t="inlineStr">
        <is>
          <t>sales (ventas, miles de unidades)</t>
        </is>
      </c>
      <c r="D1" s="2" t="inlineStr">
        <is>
          <t>Dataset Advertising (ISLR, cap. 3): inversión publicitaria y ventas en 200 mercados. Predictor X = TV; respuesta Y = sales.</t>
        </is>
      </c>
    </row>
    <row r="2">
      <c r="A2" t="n">
        <v>230.1</v>
      </c>
      <c r="B2" t="n">
        <v>22.1</v>
      </c>
    </row>
    <row r="3">
      <c r="A3" s="3" t="n">
        <v>44.5</v>
      </c>
      <c r="B3" s="3" t="n">
        <v>10.4</v>
      </c>
    </row>
    <row r="4">
      <c r="A4" t="n">
        <v>17.2</v>
      </c>
      <c r="B4" t="n">
        <v>9.300000000000001</v>
      </c>
    </row>
    <row r="5">
      <c r="A5" s="3" t="n">
        <v>151.5</v>
      </c>
      <c r="B5" s="3" t="n">
        <v>18.5</v>
      </c>
    </row>
    <row r="6">
      <c r="A6" t="n">
        <v>180.8</v>
      </c>
      <c r="B6" t="n">
        <v>12.9</v>
      </c>
    </row>
    <row r="7">
      <c r="A7" s="3" t="n">
        <v>8.699999999999999</v>
      </c>
      <c r="B7" s="3" t="n">
        <v>7.2</v>
      </c>
    </row>
    <row r="8">
      <c r="A8" t="n">
        <v>57.5</v>
      </c>
      <c r="B8" t="n">
        <v>11.8</v>
      </c>
    </row>
    <row r="9">
      <c r="A9" s="3" t="n">
        <v>120.2</v>
      </c>
      <c r="B9" s="3" t="n">
        <v>13.2</v>
      </c>
    </row>
    <row r="10">
      <c r="A10" t="n">
        <v>8.6</v>
      </c>
      <c r="B10" t="n">
        <v>4.8</v>
      </c>
    </row>
    <row r="11">
      <c r="A11" s="3" t="n">
        <v>199.8</v>
      </c>
      <c r="B11" s="3" t="n">
        <v>10.6</v>
      </c>
    </row>
    <row r="12">
      <c r="A12" t="n">
        <v>66.09999999999999</v>
      </c>
      <c r="B12" t="n">
        <v>8.6</v>
      </c>
    </row>
    <row r="13">
      <c r="A13" s="3" t="n">
        <v>214.7</v>
      </c>
      <c r="B13" s="3" t="n">
        <v>17.4</v>
      </c>
    </row>
    <row r="14">
      <c r="A14" t="n">
        <v>23.8</v>
      </c>
      <c r="B14" t="n">
        <v>9.199999999999999</v>
      </c>
    </row>
    <row r="15">
      <c r="A15" s="3" t="n">
        <v>97.5</v>
      </c>
      <c r="B15" s="3" t="n">
        <v>9.699999999999999</v>
      </c>
    </row>
    <row r="16">
      <c r="A16" t="n">
        <v>204.1</v>
      </c>
      <c r="B16" t="n">
        <v>19</v>
      </c>
    </row>
    <row r="17">
      <c r="A17" s="3" t="n">
        <v>195.4</v>
      </c>
      <c r="B17" s="3" t="n">
        <v>22.4</v>
      </c>
    </row>
    <row r="18">
      <c r="A18" t="n">
        <v>67.8</v>
      </c>
      <c r="B18" t="n">
        <v>12.5</v>
      </c>
    </row>
    <row r="19">
      <c r="A19" s="3" t="n">
        <v>281.4</v>
      </c>
      <c r="B19" s="3" t="n">
        <v>24.4</v>
      </c>
    </row>
    <row r="20">
      <c r="A20" t="n">
        <v>69.2</v>
      </c>
      <c r="B20" t="n">
        <v>11.3</v>
      </c>
    </row>
    <row r="21">
      <c r="A21" s="3" t="n">
        <v>147.3</v>
      </c>
      <c r="B21" s="3" t="n">
        <v>14.6</v>
      </c>
    </row>
    <row r="22">
      <c r="A22" t="n">
        <v>218.4</v>
      </c>
      <c r="B22" t="n">
        <v>18</v>
      </c>
    </row>
    <row r="23">
      <c r="A23" s="3" t="n">
        <v>237.4</v>
      </c>
      <c r="B23" s="3" t="n">
        <v>12.5</v>
      </c>
    </row>
    <row r="24">
      <c r="A24" t="n">
        <v>13.2</v>
      </c>
      <c r="B24" t="n">
        <v>5.6</v>
      </c>
    </row>
    <row r="25">
      <c r="A25" s="3" t="n">
        <v>228.3</v>
      </c>
      <c r="B25" s="3" t="n">
        <v>15.5</v>
      </c>
    </row>
    <row r="26">
      <c r="A26" t="n">
        <v>62.3</v>
      </c>
      <c r="B26" t="n">
        <v>9.699999999999999</v>
      </c>
    </row>
    <row r="27">
      <c r="A27" s="3" t="n">
        <v>262.9</v>
      </c>
      <c r="B27" s="3" t="n">
        <v>12</v>
      </c>
    </row>
    <row r="28">
      <c r="A28" t="n">
        <v>142.9</v>
      </c>
      <c r="B28" t="n">
        <v>15</v>
      </c>
    </row>
    <row r="29">
      <c r="A29" s="3" t="n">
        <v>240.1</v>
      </c>
      <c r="B29" s="3" t="n">
        <v>15.9</v>
      </c>
    </row>
    <row r="30">
      <c r="A30" t="n">
        <v>248.8</v>
      </c>
      <c r="B30" t="n">
        <v>18.9</v>
      </c>
    </row>
    <row r="31">
      <c r="A31" s="3" t="n">
        <v>70.59999999999999</v>
      </c>
      <c r="B31" s="3" t="n">
        <v>10.5</v>
      </c>
    </row>
    <row r="32">
      <c r="A32" t="n">
        <v>292.9</v>
      </c>
      <c r="B32" t="n">
        <v>21.4</v>
      </c>
    </row>
    <row r="33">
      <c r="A33" s="3" t="n">
        <v>112.9</v>
      </c>
      <c r="B33" s="3" t="n">
        <v>11.9</v>
      </c>
    </row>
    <row r="34">
      <c r="A34" t="n">
        <v>97.2</v>
      </c>
      <c r="B34" t="n">
        <v>9.6</v>
      </c>
    </row>
    <row r="35">
      <c r="A35" s="3" t="n">
        <v>265.6</v>
      </c>
      <c r="B35" s="3" t="n">
        <v>17.4</v>
      </c>
    </row>
    <row r="36">
      <c r="A36" t="n">
        <v>95.7</v>
      </c>
      <c r="B36" t="n">
        <v>9.5</v>
      </c>
    </row>
    <row r="37">
      <c r="A37" s="3" t="n">
        <v>290.7</v>
      </c>
      <c r="B37" s="3" t="n">
        <v>12.8</v>
      </c>
    </row>
    <row r="38">
      <c r="A38" t="n">
        <v>266.9</v>
      </c>
      <c r="B38" t="n">
        <v>25.4</v>
      </c>
    </row>
    <row r="39">
      <c r="A39" s="3" t="n">
        <v>74.7</v>
      </c>
      <c r="B39" s="3" t="n">
        <v>14.7</v>
      </c>
    </row>
    <row r="40">
      <c r="A40" t="n">
        <v>43.1</v>
      </c>
      <c r="B40" t="n">
        <v>10.1</v>
      </c>
    </row>
    <row r="41">
      <c r="A41" s="3" t="n">
        <v>228</v>
      </c>
      <c r="B41" s="3" t="n">
        <v>21.5</v>
      </c>
    </row>
    <row r="42">
      <c r="A42" t="n">
        <v>202.5</v>
      </c>
      <c r="B42" t="n">
        <v>16.6</v>
      </c>
    </row>
    <row r="43">
      <c r="A43" s="3" t="n">
        <v>177</v>
      </c>
      <c r="B43" s="3" t="n">
        <v>17.1</v>
      </c>
    </row>
    <row r="44">
      <c r="A44" t="n">
        <v>293.6</v>
      </c>
      <c r="B44" t="n">
        <v>20.7</v>
      </c>
    </row>
    <row r="45">
      <c r="A45" s="3" t="n">
        <v>206.9</v>
      </c>
      <c r="B45" s="3" t="n">
        <v>12.9</v>
      </c>
    </row>
    <row r="46">
      <c r="A46" t="n">
        <v>25.1</v>
      </c>
      <c r="B46" t="n">
        <v>8.5</v>
      </c>
    </row>
    <row r="47">
      <c r="A47" s="3" t="n">
        <v>175.1</v>
      </c>
      <c r="B47" s="3" t="n">
        <v>14.9</v>
      </c>
    </row>
    <row r="48">
      <c r="A48" t="n">
        <v>89.7</v>
      </c>
      <c r="B48" t="n">
        <v>10.6</v>
      </c>
    </row>
    <row r="49">
      <c r="A49" s="3" t="n">
        <v>239.9</v>
      </c>
      <c r="B49" s="3" t="n">
        <v>23.2</v>
      </c>
    </row>
    <row r="50">
      <c r="A50" t="n">
        <v>227.2</v>
      </c>
      <c r="B50" t="n">
        <v>14.8</v>
      </c>
    </row>
    <row r="51">
      <c r="A51" s="3" t="n">
        <v>66.90000000000001</v>
      </c>
      <c r="B51" s="3" t="n">
        <v>9.699999999999999</v>
      </c>
    </row>
    <row r="52">
      <c r="A52" t="n">
        <v>199.8</v>
      </c>
      <c r="B52" t="n">
        <v>11.4</v>
      </c>
    </row>
    <row r="53">
      <c r="A53" s="3" t="n">
        <v>100.4</v>
      </c>
      <c r="B53" s="3" t="n">
        <v>10.7</v>
      </c>
    </row>
    <row r="54">
      <c r="A54" t="n">
        <v>216.4</v>
      </c>
      <c r="B54" t="n">
        <v>22.6</v>
      </c>
    </row>
    <row r="55">
      <c r="A55" s="3" t="n">
        <v>182.6</v>
      </c>
      <c r="B55" s="3" t="n">
        <v>21.2</v>
      </c>
    </row>
    <row r="56">
      <c r="A56" t="n">
        <v>262.7</v>
      </c>
      <c r="B56" t="n">
        <v>20.2</v>
      </c>
    </row>
    <row r="57">
      <c r="A57" s="3" t="n">
        <v>198.9</v>
      </c>
      <c r="B57" s="3" t="n">
        <v>23.7</v>
      </c>
    </row>
    <row r="58">
      <c r="A58" t="n">
        <v>7.3</v>
      </c>
      <c r="B58" t="n">
        <v>5.5</v>
      </c>
    </row>
    <row r="59">
      <c r="A59" s="3" t="n">
        <v>136.2</v>
      </c>
      <c r="B59" s="3" t="n">
        <v>13.2</v>
      </c>
    </row>
    <row r="60">
      <c r="A60" t="n">
        <v>210.8</v>
      </c>
      <c r="B60" t="n">
        <v>23.8</v>
      </c>
    </row>
    <row r="61">
      <c r="A61" s="3" t="n">
        <v>210.7</v>
      </c>
      <c r="B61" s="3" t="n">
        <v>18.4</v>
      </c>
    </row>
    <row r="62">
      <c r="A62" t="n">
        <v>53.5</v>
      </c>
      <c r="B62" t="n">
        <v>8.1</v>
      </c>
    </row>
    <row r="63">
      <c r="A63" s="3" t="n">
        <v>261.3</v>
      </c>
      <c r="B63" s="3" t="n">
        <v>24.2</v>
      </c>
    </row>
    <row r="64">
      <c r="A64" t="n">
        <v>239.3</v>
      </c>
      <c r="B64" t="n">
        <v>15.7</v>
      </c>
    </row>
    <row r="65">
      <c r="A65" s="3" t="n">
        <v>102.7</v>
      </c>
      <c r="B65" s="3" t="n">
        <v>14</v>
      </c>
    </row>
    <row r="66">
      <c r="A66" t="n">
        <v>131.1</v>
      </c>
      <c r="B66" t="n">
        <v>18</v>
      </c>
    </row>
    <row r="67">
      <c r="A67" s="3" t="n">
        <v>69</v>
      </c>
      <c r="B67" s="3" t="n">
        <v>9.300000000000001</v>
      </c>
    </row>
    <row r="68">
      <c r="A68" t="n">
        <v>31.5</v>
      </c>
      <c r="B68" t="n">
        <v>9.5</v>
      </c>
    </row>
    <row r="69">
      <c r="A69" s="3" t="n">
        <v>139.3</v>
      </c>
      <c r="B69" s="3" t="n">
        <v>13.4</v>
      </c>
    </row>
    <row r="70">
      <c r="A70" t="n">
        <v>237.4</v>
      </c>
      <c r="B70" t="n">
        <v>18.9</v>
      </c>
    </row>
    <row r="71">
      <c r="A71" s="3" t="n">
        <v>216.8</v>
      </c>
      <c r="B71" s="3" t="n">
        <v>22.3</v>
      </c>
    </row>
    <row r="72">
      <c r="A72" t="n">
        <v>199.1</v>
      </c>
      <c r="B72" t="n">
        <v>18.3</v>
      </c>
    </row>
    <row r="73">
      <c r="A73" s="3" t="n">
        <v>109.8</v>
      </c>
      <c r="B73" s="3" t="n">
        <v>12.4</v>
      </c>
    </row>
    <row r="74">
      <c r="A74" t="n">
        <v>26.8</v>
      </c>
      <c r="B74" t="n">
        <v>8.800000000000001</v>
      </c>
    </row>
    <row r="75">
      <c r="A75" s="3" t="n">
        <v>129.4</v>
      </c>
      <c r="B75" s="3" t="n">
        <v>11</v>
      </c>
    </row>
    <row r="76">
      <c r="A76" t="n">
        <v>213.4</v>
      </c>
      <c r="B76" t="n">
        <v>17</v>
      </c>
    </row>
    <row r="77">
      <c r="A77" s="3" t="n">
        <v>16.9</v>
      </c>
      <c r="B77" s="3" t="n">
        <v>8.699999999999999</v>
      </c>
    </row>
    <row r="78">
      <c r="A78" t="n">
        <v>27.5</v>
      </c>
      <c r="B78" t="n">
        <v>6.9</v>
      </c>
    </row>
    <row r="79">
      <c r="A79" s="3" t="n">
        <v>120.5</v>
      </c>
      <c r="B79" s="3" t="n">
        <v>14.2</v>
      </c>
    </row>
    <row r="80">
      <c r="A80" t="n">
        <v>5.4</v>
      </c>
      <c r="B80" t="n">
        <v>5.3</v>
      </c>
    </row>
    <row r="81">
      <c r="A81" s="3" t="n">
        <v>116</v>
      </c>
      <c r="B81" s="3" t="n">
        <v>11</v>
      </c>
    </row>
    <row r="82">
      <c r="A82" t="n">
        <v>76.40000000000001</v>
      </c>
      <c r="B82" t="n">
        <v>11.8</v>
      </c>
    </row>
    <row r="83">
      <c r="A83" s="3" t="n">
        <v>239.8</v>
      </c>
      <c r="B83" s="3" t="n">
        <v>12.3</v>
      </c>
    </row>
    <row r="84">
      <c r="A84" t="n">
        <v>75.3</v>
      </c>
      <c r="B84" t="n">
        <v>11.3</v>
      </c>
    </row>
    <row r="85">
      <c r="A85" s="3" t="n">
        <v>68.40000000000001</v>
      </c>
      <c r="B85" s="3" t="n">
        <v>13.6</v>
      </c>
    </row>
    <row r="86">
      <c r="A86" t="n">
        <v>213.5</v>
      </c>
      <c r="B86" t="n">
        <v>21.7</v>
      </c>
    </row>
    <row r="87">
      <c r="A87" s="3" t="n">
        <v>193.2</v>
      </c>
      <c r="B87" s="3" t="n">
        <v>15.2</v>
      </c>
    </row>
    <row r="88">
      <c r="A88" t="n">
        <v>76.3</v>
      </c>
      <c r="B88" t="n">
        <v>12</v>
      </c>
    </row>
    <row r="89">
      <c r="A89" s="3" t="n">
        <v>110.7</v>
      </c>
      <c r="B89" s="3" t="n">
        <v>16</v>
      </c>
    </row>
    <row r="90">
      <c r="A90" t="n">
        <v>88.3</v>
      </c>
      <c r="B90" t="n">
        <v>12.9</v>
      </c>
    </row>
    <row r="91">
      <c r="A91" s="3" t="n">
        <v>109.8</v>
      </c>
      <c r="B91" s="3" t="n">
        <v>16.7</v>
      </c>
    </row>
    <row r="92">
      <c r="A92" t="n">
        <v>134.3</v>
      </c>
      <c r="B92" t="n">
        <v>11.2</v>
      </c>
    </row>
    <row r="93">
      <c r="A93" s="3" t="n">
        <v>28.6</v>
      </c>
      <c r="B93" s="3" t="n">
        <v>7.3</v>
      </c>
    </row>
    <row r="94">
      <c r="A94" t="n">
        <v>217.7</v>
      </c>
      <c r="B94" t="n">
        <v>19.4</v>
      </c>
    </row>
    <row r="95">
      <c r="A95" s="3" t="n">
        <v>250.9</v>
      </c>
      <c r="B95" s="3" t="n">
        <v>22.2</v>
      </c>
    </row>
    <row r="96">
      <c r="A96" t="n">
        <v>107.4</v>
      </c>
      <c r="B96" t="n">
        <v>11.5</v>
      </c>
    </row>
    <row r="97">
      <c r="A97" s="3" t="n">
        <v>163.3</v>
      </c>
      <c r="B97" s="3" t="n">
        <v>16.9</v>
      </c>
    </row>
    <row r="98">
      <c r="A98" t="n">
        <v>197.6</v>
      </c>
      <c r="B98" t="n">
        <v>11.7</v>
      </c>
    </row>
    <row r="99">
      <c r="A99" s="3" t="n">
        <v>184.9</v>
      </c>
      <c r="B99" s="3" t="n">
        <v>15.5</v>
      </c>
    </row>
    <row r="100">
      <c r="A100" t="n">
        <v>289.7</v>
      </c>
      <c r="B100" t="n">
        <v>25.4</v>
      </c>
    </row>
    <row r="101">
      <c r="A101" s="3" t="n">
        <v>135.2</v>
      </c>
      <c r="B101" s="3" t="n">
        <v>17.2</v>
      </c>
    </row>
    <row r="102">
      <c r="A102" t="n">
        <v>222.4</v>
      </c>
      <c r="B102" t="n">
        <v>11.7</v>
      </c>
    </row>
    <row r="103">
      <c r="A103" s="3" t="n">
        <v>296.4</v>
      </c>
      <c r="B103" s="3" t="n">
        <v>23.8</v>
      </c>
    </row>
    <row r="104">
      <c r="A104" t="n">
        <v>280.2</v>
      </c>
      <c r="B104" t="n">
        <v>14.8</v>
      </c>
    </row>
    <row r="105">
      <c r="A105" s="3" t="n">
        <v>187.9</v>
      </c>
      <c r="B105" s="3" t="n">
        <v>14.7</v>
      </c>
    </row>
    <row r="106">
      <c r="A106" t="n">
        <v>238.2</v>
      </c>
      <c r="B106" t="n">
        <v>20.7</v>
      </c>
    </row>
    <row r="107">
      <c r="A107" s="3" t="n">
        <v>137.9</v>
      </c>
      <c r="B107" s="3" t="n">
        <v>19.2</v>
      </c>
    </row>
    <row r="108">
      <c r="A108" t="n">
        <v>25</v>
      </c>
      <c r="B108" t="n">
        <v>7.2</v>
      </c>
    </row>
    <row r="109">
      <c r="A109" s="3" t="n">
        <v>90.40000000000001</v>
      </c>
      <c r="B109" s="3" t="n">
        <v>8.699999999999999</v>
      </c>
    </row>
    <row r="110">
      <c r="A110" t="n">
        <v>13.1</v>
      </c>
      <c r="B110" t="n">
        <v>5.3</v>
      </c>
    </row>
    <row r="111">
      <c r="A111" s="3" t="n">
        <v>255.4</v>
      </c>
      <c r="B111" s="3" t="n">
        <v>19.8</v>
      </c>
    </row>
    <row r="112">
      <c r="A112" t="n">
        <v>225.8</v>
      </c>
      <c r="B112" t="n">
        <v>13.4</v>
      </c>
    </row>
    <row r="113">
      <c r="A113" s="3" t="n">
        <v>241.7</v>
      </c>
      <c r="B113" s="3" t="n">
        <v>21.8</v>
      </c>
    </row>
    <row r="114">
      <c r="A114" t="n">
        <v>175.7</v>
      </c>
      <c r="B114" t="n">
        <v>14.1</v>
      </c>
    </row>
    <row r="115">
      <c r="A115" s="3" t="n">
        <v>209.6</v>
      </c>
      <c r="B115" s="3" t="n">
        <v>15.9</v>
      </c>
    </row>
    <row r="116">
      <c r="A116" t="n">
        <v>78.2</v>
      </c>
      <c r="B116" t="n">
        <v>14.6</v>
      </c>
    </row>
    <row r="117">
      <c r="A117" s="3" t="n">
        <v>75.09999999999999</v>
      </c>
      <c r="B117" s="3" t="n">
        <v>12.6</v>
      </c>
    </row>
    <row r="118">
      <c r="A118" t="n">
        <v>139.2</v>
      </c>
      <c r="B118" t="n">
        <v>12.2</v>
      </c>
    </row>
    <row r="119">
      <c r="A119" s="3" t="n">
        <v>76.40000000000001</v>
      </c>
      <c r="B119" s="3" t="n">
        <v>9.4</v>
      </c>
    </row>
    <row r="120">
      <c r="A120" t="n">
        <v>125.7</v>
      </c>
      <c r="B120" t="n">
        <v>15.9</v>
      </c>
    </row>
    <row r="121">
      <c r="A121" s="3" t="n">
        <v>19.4</v>
      </c>
      <c r="B121" s="3" t="n">
        <v>6.6</v>
      </c>
    </row>
    <row r="122">
      <c r="A122" t="n">
        <v>141.3</v>
      </c>
      <c r="B122" t="n">
        <v>15.5</v>
      </c>
    </row>
    <row r="123">
      <c r="A123" s="3" t="n">
        <v>18.8</v>
      </c>
      <c r="B123" s="3" t="n">
        <v>7</v>
      </c>
    </row>
    <row r="124">
      <c r="A124" t="n">
        <v>224</v>
      </c>
      <c r="B124" t="n">
        <v>11.6</v>
      </c>
    </row>
    <row r="125">
      <c r="A125" s="3" t="n">
        <v>123.1</v>
      </c>
      <c r="B125" s="3" t="n">
        <v>15.2</v>
      </c>
    </row>
    <row r="126">
      <c r="A126" t="n">
        <v>229.5</v>
      </c>
      <c r="B126" t="n">
        <v>19.7</v>
      </c>
    </row>
    <row r="127">
      <c r="A127" s="3" t="n">
        <v>87.2</v>
      </c>
      <c r="B127" s="3" t="n">
        <v>10.6</v>
      </c>
    </row>
    <row r="128">
      <c r="A128" t="n">
        <v>7.8</v>
      </c>
      <c r="B128" t="n">
        <v>6.6</v>
      </c>
    </row>
    <row r="129">
      <c r="A129" s="3" t="n">
        <v>80.2</v>
      </c>
      <c r="B129" s="3" t="n">
        <v>8.800000000000001</v>
      </c>
    </row>
    <row r="130">
      <c r="A130" t="n">
        <v>220.3</v>
      </c>
      <c r="B130" t="n">
        <v>24.7</v>
      </c>
    </row>
    <row r="131">
      <c r="A131" s="3" t="n">
        <v>59.6</v>
      </c>
      <c r="B131" s="3" t="n">
        <v>9.699999999999999</v>
      </c>
    </row>
    <row r="132">
      <c r="A132" t="n">
        <v>0.7</v>
      </c>
      <c r="B132" t="n">
        <v>1.6</v>
      </c>
    </row>
    <row r="133">
      <c r="A133" s="3" t="n">
        <v>265.2</v>
      </c>
      <c r="B133" s="3" t="n">
        <v>12.7</v>
      </c>
    </row>
    <row r="134">
      <c r="A134" t="n">
        <v>8.4</v>
      </c>
      <c r="B134" t="n">
        <v>5.7</v>
      </c>
    </row>
    <row r="135">
      <c r="A135" s="3" t="n">
        <v>219.8</v>
      </c>
      <c r="B135" s="3" t="n">
        <v>19.6</v>
      </c>
    </row>
    <row r="136">
      <c r="A136" t="n">
        <v>36.9</v>
      </c>
      <c r="B136" t="n">
        <v>10.8</v>
      </c>
    </row>
    <row r="137">
      <c r="A137" s="3" t="n">
        <v>48.3</v>
      </c>
      <c r="B137" s="3" t="n">
        <v>11.6</v>
      </c>
    </row>
    <row r="138">
      <c r="A138" t="n">
        <v>25.6</v>
      </c>
      <c r="B138" t="n">
        <v>9.5</v>
      </c>
    </row>
    <row r="139">
      <c r="A139" s="3" t="n">
        <v>273.7</v>
      </c>
      <c r="B139" s="3" t="n">
        <v>20.8</v>
      </c>
    </row>
    <row r="140">
      <c r="A140" t="n">
        <v>43</v>
      </c>
      <c r="B140" t="n">
        <v>9.6</v>
      </c>
    </row>
    <row r="141">
      <c r="A141" s="3" t="n">
        <v>184.9</v>
      </c>
      <c r="B141" s="3" t="n">
        <v>20.7</v>
      </c>
    </row>
    <row r="142">
      <c r="A142" t="n">
        <v>73.40000000000001</v>
      </c>
      <c r="B142" t="n">
        <v>10.9</v>
      </c>
    </row>
    <row r="143">
      <c r="A143" s="3" t="n">
        <v>193.7</v>
      </c>
      <c r="B143" s="3" t="n">
        <v>19.2</v>
      </c>
    </row>
    <row r="144">
      <c r="A144" t="n">
        <v>220.5</v>
      </c>
      <c r="B144" t="n">
        <v>20.1</v>
      </c>
    </row>
    <row r="145">
      <c r="A145" s="3" t="n">
        <v>104.6</v>
      </c>
      <c r="B145" s="3" t="n">
        <v>10.4</v>
      </c>
    </row>
    <row r="146">
      <c r="A146" t="n">
        <v>96.2</v>
      </c>
      <c r="B146" t="n">
        <v>11.4</v>
      </c>
    </row>
    <row r="147">
      <c r="A147" s="3" t="n">
        <v>140.3</v>
      </c>
      <c r="B147" s="3" t="n">
        <v>10.3</v>
      </c>
    </row>
    <row r="148">
      <c r="A148" t="n">
        <v>240.1</v>
      </c>
      <c r="B148" t="n">
        <v>13.2</v>
      </c>
    </row>
    <row r="149">
      <c r="A149" s="3" t="n">
        <v>243.2</v>
      </c>
      <c r="B149" s="3" t="n">
        <v>25.4</v>
      </c>
    </row>
    <row r="150">
      <c r="A150" t="n">
        <v>38</v>
      </c>
      <c r="B150" t="n">
        <v>10.9</v>
      </c>
    </row>
    <row r="151">
      <c r="A151" s="3" t="n">
        <v>44.7</v>
      </c>
      <c r="B151" s="3" t="n">
        <v>10.1</v>
      </c>
    </row>
    <row r="152">
      <c r="A152" t="n">
        <v>280.7</v>
      </c>
      <c r="B152" t="n">
        <v>16.1</v>
      </c>
    </row>
    <row r="153">
      <c r="A153" s="3" t="n">
        <v>121</v>
      </c>
      <c r="B153" s="3" t="n">
        <v>11.6</v>
      </c>
    </row>
    <row r="154">
      <c r="A154" t="n">
        <v>197.6</v>
      </c>
      <c r="B154" t="n">
        <v>16.6</v>
      </c>
    </row>
    <row r="155">
      <c r="A155" s="3" t="n">
        <v>171.3</v>
      </c>
      <c r="B155" s="3" t="n">
        <v>19</v>
      </c>
    </row>
    <row r="156">
      <c r="A156" t="n">
        <v>187.8</v>
      </c>
      <c r="B156" t="n">
        <v>15.6</v>
      </c>
    </row>
    <row r="157">
      <c r="A157" s="3" t="n">
        <v>4.1</v>
      </c>
      <c r="B157" s="3" t="n">
        <v>3.2</v>
      </c>
    </row>
    <row r="158">
      <c r="A158" t="n">
        <v>93.90000000000001</v>
      </c>
      <c r="B158" t="n">
        <v>15.3</v>
      </c>
    </row>
    <row r="159">
      <c r="A159" s="3" t="n">
        <v>149.8</v>
      </c>
      <c r="B159" s="3" t="n">
        <v>10.1</v>
      </c>
    </row>
    <row r="160">
      <c r="A160" t="n">
        <v>11.7</v>
      </c>
      <c r="B160" t="n">
        <v>7.3</v>
      </c>
    </row>
    <row r="161">
      <c r="A161" s="3" t="n">
        <v>131.7</v>
      </c>
      <c r="B161" s="3" t="n">
        <v>12.9</v>
      </c>
    </row>
    <row r="162">
      <c r="A162" t="n">
        <v>172.5</v>
      </c>
      <c r="B162" t="n">
        <v>14.4</v>
      </c>
    </row>
    <row r="163">
      <c r="A163" s="3" t="n">
        <v>85.7</v>
      </c>
      <c r="B163" s="3" t="n">
        <v>13.3</v>
      </c>
    </row>
    <row r="164">
      <c r="A164" t="n">
        <v>188.4</v>
      </c>
      <c r="B164" t="n">
        <v>14.9</v>
      </c>
    </row>
    <row r="165">
      <c r="A165" s="3" t="n">
        <v>163.5</v>
      </c>
      <c r="B165" s="3" t="n">
        <v>18</v>
      </c>
    </row>
    <row r="166">
      <c r="A166" t="n">
        <v>117.2</v>
      </c>
      <c r="B166" t="n">
        <v>11.9</v>
      </c>
    </row>
    <row r="167">
      <c r="A167" s="3" t="n">
        <v>234.5</v>
      </c>
      <c r="B167" s="3" t="n">
        <v>11.9</v>
      </c>
    </row>
    <row r="168">
      <c r="A168" t="n">
        <v>17.9</v>
      </c>
      <c r="B168" t="n">
        <v>8</v>
      </c>
    </row>
    <row r="169">
      <c r="A169" s="3" t="n">
        <v>206.8</v>
      </c>
      <c r="B169" s="3" t="n">
        <v>12.2</v>
      </c>
    </row>
    <row r="170">
      <c r="A170" t="n">
        <v>215.4</v>
      </c>
      <c r="B170" t="n">
        <v>17.1</v>
      </c>
    </row>
    <row r="171">
      <c r="A171" s="3" t="n">
        <v>284.3</v>
      </c>
      <c r="B171" s="3" t="n">
        <v>15</v>
      </c>
    </row>
    <row r="172">
      <c r="A172" t="n">
        <v>50</v>
      </c>
      <c r="B172" t="n">
        <v>8.4</v>
      </c>
    </row>
    <row r="173">
      <c r="A173" s="3" t="n">
        <v>164.5</v>
      </c>
      <c r="B173" s="3" t="n">
        <v>14.5</v>
      </c>
    </row>
    <row r="174">
      <c r="A174" t="n">
        <v>19.6</v>
      </c>
      <c r="B174" t="n">
        <v>7.6</v>
      </c>
    </row>
    <row r="175">
      <c r="A175" s="3" t="n">
        <v>168.4</v>
      </c>
      <c r="B175" s="3" t="n">
        <v>11.7</v>
      </c>
    </row>
    <row r="176">
      <c r="A176" t="n">
        <v>222.4</v>
      </c>
      <c r="B176" t="n">
        <v>11.5</v>
      </c>
    </row>
    <row r="177">
      <c r="A177" s="3" t="n">
        <v>276.9</v>
      </c>
      <c r="B177" s="3" t="n">
        <v>27</v>
      </c>
    </row>
    <row r="178">
      <c r="A178" t="n">
        <v>248.4</v>
      </c>
      <c r="B178" t="n">
        <v>20.2</v>
      </c>
    </row>
    <row r="179">
      <c r="A179" s="3" t="n">
        <v>170.2</v>
      </c>
      <c r="B179" s="3" t="n">
        <v>11.7</v>
      </c>
    </row>
    <row r="180">
      <c r="A180" t="n">
        <v>276.7</v>
      </c>
      <c r="B180" t="n">
        <v>11.8</v>
      </c>
    </row>
    <row r="181">
      <c r="A181" s="3" t="n">
        <v>165.6</v>
      </c>
      <c r="B181" s="3" t="n">
        <v>12.6</v>
      </c>
    </row>
    <row r="182">
      <c r="A182" t="n">
        <v>156.6</v>
      </c>
      <c r="B182" t="n">
        <v>10.5</v>
      </c>
    </row>
    <row r="183">
      <c r="A183" s="3" t="n">
        <v>218.5</v>
      </c>
      <c r="B183" s="3" t="n">
        <v>12.2</v>
      </c>
    </row>
    <row r="184">
      <c r="A184" t="n">
        <v>56.2</v>
      </c>
      <c r="B184" t="n">
        <v>8.699999999999999</v>
      </c>
    </row>
    <row r="185">
      <c r="A185" s="3" t="n">
        <v>287.6</v>
      </c>
      <c r="B185" s="3" t="n">
        <v>26.2</v>
      </c>
    </row>
    <row r="186">
      <c r="A186" t="n">
        <v>253.8</v>
      </c>
      <c r="B186" t="n">
        <v>17.6</v>
      </c>
    </row>
    <row r="187">
      <c r="A187" s="3" t="n">
        <v>205</v>
      </c>
      <c r="B187" s="3" t="n">
        <v>22.6</v>
      </c>
    </row>
    <row r="188">
      <c r="A188" t="n">
        <v>139.5</v>
      </c>
      <c r="B188" t="n">
        <v>10.3</v>
      </c>
    </row>
    <row r="189">
      <c r="A189" s="3" t="n">
        <v>191.1</v>
      </c>
      <c r="B189" s="3" t="n">
        <v>17.3</v>
      </c>
    </row>
    <row r="190">
      <c r="A190" t="n">
        <v>286</v>
      </c>
      <c r="B190" t="n">
        <v>15.9</v>
      </c>
    </row>
    <row r="191">
      <c r="A191" s="3" t="n">
        <v>18.7</v>
      </c>
      <c r="B191" s="3" t="n">
        <v>6.7</v>
      </c>
    </row>
    <row r="192">
      <c r="A192" t="n">
        <v>39.5</v>
      </c>
      <c r="B192" t="n">
        <v>10.8</v>
      </c>
    </row>
    <row r="193">
      <c r="A193" s="3" t="n">
        <v>75.5</v>
      </c>
      <c r="B193" s="3" t="n">
        <v>9.9</v>
      </c>
    </row>
    <row r="194">
      <c r="A194" t="n">
        <v>17.2</v>
      </c>
      <c r="B194" t="n">
        <v>5.9</v>
      </c>
    </row>
    <row r="195">
      <c r="A195" s="3" t="n">
        <v>166.8</v>
      </c>
      <c r="B195" s="3" t="n">
        <v>19.6</v>
      </c>
    </row>
    <row r="196">
      <c r="A196" t="n">
        <v>149.7</v>
      </c>
      <c r="B196" t="n">
        <v>17.3</v>
      </c>
    </row>
    <row r="197">
      <c r="A197" s="3" t="n">
        <v>38.2</v>
      </c>
      <c r="B197" s="3" t="n">
        <v>7.6</v>
      </c>
    </row>
    <row r="198">
      <c r="A198" t="n">
        <v>94.2</v>
      </c>
      <c r="B198" t="n">
        <v>9.699999999999999</v>
      </c>
    </row>
    <row r="199">
      <c r="A199" s="3" t="n">
        <v>177</v>
      </c>
      <c r="B199" s="3" t="n">
        <v>12.8</v>
      </c>
    </row>
    <row r="200">
      <c r="A200" t="n">
        <v>283.6</v>
      </c>
      <c r="B200" t="n">
        <v>25.5</v>
      </c>
    </row>
    <row r="201">
      <c r="A201" s="3" t="n">
        <v>232.1</v>
      </c>
      <c r="B201" s="3" t="n">
        <v>13.4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0" customWidth="1" min="4" max="4"/>
  </cols>
  <sheetData>
    <row r="1" ht="24" customHeight="1">
      <c r="A1" s="4" t="inlineStr">
        <is>
          <t>Regresión lineal simple — Advertising: sales ~ TV</t>
        </is>
      </c>
    </row>
    <row r="2" ht="42" customHeight="1">
      <c r="A2" s="2" t="inlineStr">
        <is>
          <t>Modelo OLS con un solo predictor. Las fórmulas leen la hoja 'datos'. Excel recalcula al abrir; los nombres se muestran en español (PENDIENTE, INTERSECCION.EJE, COEF.DE.DETERM, ESTIMACION.LINEAL).</t>
        </is>
      </c>
    </row>
    <row r="4">
      <c r="A4" s="1" t="inlineStr">
        <is>
          <t>Resultado</t>
        </is>
      </c>
      <c r="B4" s="1" t="inlineStr">
        <is>
          <t>Fórmula (Excel, nombre en español / inglés)</t>
        </is>
      </c>
      <c r="C4" s="1" t="inlineStr">
        <is>
          <t>Valor (recalcula Excel)</t>
        </is>
      </c>
      <c r="D4" s="1" t="inlineStr">
        <is>
          <t>Valor de referencia*</t>
        </is>
      </c>
    </row>
    <row r="5">
      <c r="A5" s="5" t="inlineStr">
        <is>
          <t>Pendiente β₁ (efecto por unidad de TV)</t>
        </is>
      </c>
      <c r="B5" s="6">
        <f>PENDIENTE / SLOPE</f>
        <v/>
      </c>
      <c r="C5" s="7">
        <f>SLOPE(datos!B2:B201,datos!A2:A201)</f>
        <v/>
      </c>
      <c r="D5" s="7" t="n">
        <v>0.047537</v>
      </c>
    </row>
    <row r="6">
      <c r="A6" s="8" t="inlineStr">
        <is>
          <t>Intercepto β₀ (ancla de la recta)</t>
        </is>
      </c>
      <c r="B6" s="9">
        <f>INTERSECCION.EJE / INTERCEPT</f>
        <v/>
      </c>
      <c r="C6" s="10">
        <f>INTERCEPT(datos!B2:B201,datos!A2:A201)</f>
        <v/>
      </c>
      <c r="D6" s="10" t="n">
        <v>7.032594</v>
      </c>
    </row>
    <row r="7">
      <c r="A7" s="5" t="inlineStr">
        <is>
          <t>Coef. de correlación r (Pearson)</t>
        </is>
      </c>
      <c r="B7" s="6">
        <f>COEF.DE.CORREL / PEARSON</f>
        <v/>
      </c>
      <c r="C7" s="7">
        <f>PEARSON(datos!A2:A201,datos!B2:B201)</f>
        <v/>
      </c>
      <c r="D7" s="7" t="n">
        <v>0.782224</v>
      </c>
    </row>
    <row r="8">
      <c r="A8" s="8" t="inlineStr">
        <is>
          <t>R² (coef. de determinación = r²)</t>
        </is>
      </c>
      <c r="B8" s="9">
        <f>COEF.DE.DETERM / RSQ</f>
        <v/>
      </c>
      <c r="C8" s="10">
        <f>RSQ(datos!B2:B201,datos!A2:A201)</f>
        <v/>
      </c>
      <c r="D8" s="10" t="n">
        <v>0.6118749999999999</v>
      </c>
    </row>
    <row r="9">
      <c r="A9" s="5" t="inlineStr">
        <is>
          <t>n (nº de observaciones)</t>
        </is>
      </c>
      <c r="B9" s="6">
        <f>CONTAR / COUNT</f>
        <v/>
      </c>
      <c r="C9" s="7">
        <f>COUNT(datos!A2:A201)</f>
        <v/>
      </c>
      <c r="D9" s="7" t="n">
        <v>200</v>
      </c>
    </row>
    <row r="11">
      <c r="A11" s="11" t="inlineStr">
        <is>
          <t>* Valor de referencia calculado con el venv del curso (numpy). Al abrir en Excel, la columna 'Valor' debe coincidir.</t>
        </is>
      </c>
    </row>
    <row r="13" ht="42" customHeight="1">
      <c r="A13" s="2" t="inlineStr">
        <is>
          <t>Lectura de negocio: por cada 1 (mil USD) adicional de inversión en TV, las ventas esperadas cambian en β₁ (miles de unidades). R² indica la fracción de la variación de las ventas explicada por la TV. β₀ es solo el ancla de la recta.</t>
        </is>
      </c>
    </row>
    <row r="15">
      <c r="A15" s="12" t="inlineStr">
        <is>
          <t>ESTIMACION.LINEAL / LINEST — matriz de estadísticos (fórmula matricial, 5 filas × 2 columnas)</t>
        </is>
      </c>
    </row>
    <row r="16">
      <c r="A16" s="1" t="inlineStr">
        <is>
          <t>Fila de la matriz</t>
        </is>
      </c>
      <c r="B16" s="1" t="inlineStr">
        <is>
          <t>Columna 1</t>
        </is>
      </c>
      <c r="C16" s="1" t="inlineStr">
        <is>
          <t>Columna 2</t>
        </is>
      </c>
    </row>
    <row r="17">
      <c r="A17" s="13" t="inlineStr">
        <is>
          <t>1: coeficientes → β₁ (pendiente) | β₀ (intercepto)</t>
        </is>
      </c>
      <c r="B17" s="14">
        <f t="array" ref="B17:C21">LINEST(datos!B2:B201,datos!A2:A201,TRUE,TRUE)</f>
        <v/>
      </c>
      <c r="C17" s="14" t="n"/>
    </row>
    <row r="18">
      <c r="A18" s="13" t="inlineStr">
        <is>
          <t>2: error estándar de β₁ | de β₀</t>
        </is>
      </c>
      <c r="B18" s="14" t="n"/>
      <c r="C18" s="14" t="n"/>
    </row>
    <row r="19">
      <c r="A19" s="13" t="inlineStr">
        <is>
          <t>3: R² | error estándar de ŷ (regresión)</t>
        </is>
      </c>
      <c r="B19" s="14" t="n"/>
      <c r="C19" s="14" t="n"/>
    </row>
    <row r="20">
      <c r="A20" s="13" t="inlineStr">
        <is>
          <t>4: estadístico F | grados de libertad</t>
        </is>
      </c>
      <c r="B20" s="14" t="n"/>
      <c r="C20" s="14" t="n"/>
    </row>
    <row r="21">
      <c r="A21" s="13" t="inlineStr">
        <is>
          <t>5: suma de cuadrados de la regresión | residual</t>
        </is>
      </c>
      <c r="B21" s="14" t="n"/>
      <c r="C21" s="14" t="n"/>
    </row>
  </sheetData>
  <mergeCells count="5">
    <mergeCell ref="A1:D1"/>
    <mergeCell ref="A15:D15"/>
    <mergeCell ref="A2:D2"/>
    <mergeCell ref="A11:D11"/>
    <mergeCell ref="A13:D1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2026-07-18T08:57:59Z</dcterms:created>
  <dcterms:modified xmlns:dcterms="http://purl.org/dc/terms/" xmlns:xsi="http://www.w3.org/2001/XMLSchema-instance" xsi:type="dcterms:W3CDTF">2026-07-18T08:57:59Z</dcterms:modified>
</cp:coreProperties>
</file>